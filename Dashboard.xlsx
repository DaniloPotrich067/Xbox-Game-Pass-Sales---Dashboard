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lo\Downloads\"/>
    </mc:Choice>
  </mc:AlternateContent>
  <xr:revisionPtr revIDLastSave="0" documentId="13_ncr:1_{8BFE5DDF-BC26-42A4-9371-5A71E74FE82D}" xr6:coauthVersionLast="47" xr6:coauthVersionMax="47" xr10:uidLastSave="{00000000-0000-0000-0000-000000000000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3" l="1"/>
  <c r="A20" i="3"/>
</calcChain>
</file>

<file path=xl/sharedStrings.xml><?xml version="1.0" encoding="utf-8"?>
<sst xmlns="http://schemas.openxmlformats.org/spreadsheetml/2006/main" count="2027" uniqueCount="325">
  <si>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</si>
  <si>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</si>
  <si>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</si>
  <si>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</si>
  <si>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</si>
  <si>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</si>
  <si>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</si>
  <si>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</si>
  <si>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</si>
  <si>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</si>
  <si>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</si>
  <si>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</si>
  <si>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</si>
  <si>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</si>
  <si>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</si>
  <si>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</si>
  <si>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</si>
  <si>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</si>
  <si>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</si>
  <si>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</si>
  <si>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</si>
  <si>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</si>
  <si>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</si>
  <si>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</si>
  <si>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</si>
  <si>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</si>
  <si>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</si>
  <si>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</si>
  <si>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</si>
  <si>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</si>
  <si>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</si>
  <si>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</si>
  <si>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</si>
  <si>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</si>
  <si>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</si>
  <si>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</si>
  <si>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</si>
  <si>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</si>
  <si>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</si>
  <si>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</si>
  <si>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</si>
  <si>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</si>
  <si>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</si>
  <si>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</si>
  <si>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</si>
  <si>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</si>
  <si>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</si>
  <si>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</si>
  <si>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</si>
  <si>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</si>
  <si>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</si>
  <si>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</si>
  <si>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</si>
  <si>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</si>
  <si>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</si>
  <si>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</si>
  <si>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</si>
  <si>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</si>
  <si>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</si>
  <si>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</si>
  <si>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</si>
  <si>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</si>
  <si>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</si>
  <si>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</si>
  <si>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</si>
  <si>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</si>
  <si>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</si>
  <si>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</si>
  <si>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</si>
  <si>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</si>
  <si>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</si>
  <si>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</si>
  <si>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</si>
  <si>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</si>
  <si>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</si>
  <si>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</si>
  <si>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</si>
  <si>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</si>
  <si>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</si>
  <si>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</si>
  <si>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</si>
  <si>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</si>
  <si>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</si>
  <si>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</si>
  <si>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</si>
  <si>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</si>
  <si>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</si>
  <si>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</si>
  <si>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</si>
  <si>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</si>
  <si>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</si>
  <si>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</si>
  <si>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</si>
  <si>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</si>
  <si>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</si>
  <si>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</si>
  <si>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</si>
  <si>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</si>
  <si>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</si>
  <si>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</si>
  <si>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</si>
  <si>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</si>
  <si>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</si>
  <si>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</si>
  <si>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</si>
  <si>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</si>
  <si>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</si>
  <si>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</si>
  <si>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</si>
  <si>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</si>
  <si>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</si>
  <si>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</si>
  <si>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</si>
  <si>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</si>
  <si>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</si>
  <si>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</si>
  <si>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</si>
  <si>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</si>
  <si>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</si>
  <si>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</si>
  <si>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</si>
  <si>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</si>
  <si>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</si>
  <si>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</si>
  <si>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</si>
  <si>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</si>
  <si>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</si>
  <si>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</si>
  <si>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</si>
  <si>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</si>
  <si>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</si>
  <si>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</si>
  <si>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</si>
  <si>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</si>
  <si>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</si>
  <si>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</si>
  <si>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</si>
  <si>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</si>
  <si>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</si>
  <si>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</si>
  <si>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</si>
  <si>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</si>
  <si>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</si>
  <si>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</si>
  <si>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</si>
  <si>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</si>
  <si>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</si>
  <si>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</si>
  <si>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</si>
  <si>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</si>
  <si>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</si>
  <si>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</si>
  <si>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</si>
  <si>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</si>
  <si>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</si>
  <si>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</si>
  <si>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</si>
  <si>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</si>
  <si>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</si>
  <si>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</si>
  <si>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</si>
  <si>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</si>
  <si>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</si>
  <si>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</si>
  <si>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</si>
  <si>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</si>
  <si>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</si>
  <si>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</si>
  <si>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</si>
  <si>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</si>
  <si>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</si>
  <si>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</si>
  <si>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</si>
  <si>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</si>
  <si>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</si>
  <si>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</si>
  <si>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</si>
  <si>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</si>
  <si>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</si>
  <si>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</si>
  <si>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</si>
  <si>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</si>
  <si>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</si>
  <si>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</si>
  <si>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</si>
  <si>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</si>
  <si>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</si>
  <si>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</si>
  <si>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</si>
  <si>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</si>
  <si>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</si>
  <si>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</si>
  <si>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</si>
  <si>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</si>
  <si>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</si>
  <si>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</si>
  <si>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</si>
  <si>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</si>
  <si>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</si>
  <si>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</si>
  <si>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</si>
  <si>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</si>
  <si>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</si>
  <si>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</si>
  <si>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</si>
  <si>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</si>
  <si>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</si>
  <si>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</si>
  <si>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</si>
  <si>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</si>
  <si>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</si>
  <si>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</si>
  <si>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</si>
  <si>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</si>
  <si>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</si>
  <si>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</si>
  <si>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</si>
  <si>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</si>
  <si>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</si>
  <si>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</si>
  <si>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</si>
  <si>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</si>
  <si>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</si>
  <si>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</si>
  <si>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</si>
  <si>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</si>
  <si>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</si>
  <si>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</si>
  <si>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</si>
  <si>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</si>
  <si>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</si>
  <si>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</si>
  <si>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</si>
  <si>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</si>
  <si>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</si>
  <si>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</si>
  <si>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</si>
  <si>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</si>
  <si>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</si>
  <si>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</si>
  <si>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</si>
  <si>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</si>
  <si>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</si>
  <si>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</si>
  <si>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</si>
  <si>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</si>
  <si>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</si>
  <si>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</si>
  <si>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</si>
  <si>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</si>
  <si>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</si>
  <si>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</si>
  <si>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</si>
  <si>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</si>
  <si>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</si>
  <si>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</si>
  <si>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</si>
  <si>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</si>
  <si>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</si>
  <si>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</si>
  <si>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</si>
  <si>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</si>
  <si>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</si>
  <si>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</si>
  <si>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</si>
  <si>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</si>
  <si>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</si>
  <si>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</si>
  <si>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</si>
  <si>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</si>
  <si>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</si>
  <si>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</si>
  <si>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</si>
  <si>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</si>
  <si>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</si>
  <si>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</si>
  <si>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</si>
  <si>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</si>
  <si>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</si>
  <si>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</si>
  <si>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</si>
  <si>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</si>
  <si>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</si>
  <si>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</si>
  <si>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</si>
  <si>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</si>
  <si>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</si>
  <si>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</si>
  <si>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</si>
  <si>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</si>
  <si>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</si>
  <si>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</si>
  <si>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</si>
  <si>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</si>
  <si>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</si>
  <si>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</si>
  <si>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</si>
  <si>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</si>
  <si>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</si>
  <si>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</si>
  <si>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</si>
  <si>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</si>
  <si>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</si>
  <si>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</si>
  <si>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</si>
  <si>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</si>
  <si>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</si>
  <si>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</si>
  <si>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</si>
  <si>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</si>
  <si>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</si>
  <si>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</si>
  <si>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</si>
  <si>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1 -  Qual o faturamento total com planos de vendas anuais ?</t>
  </si>
  <si>
    <t>Pergunta de negócio 2 - Qual o faturamento total de vendas de planos anuais separado por renovação automatica e não renovação ?</t>
  </si>
  <si>
    <t>Soma de Total Value</t>
  </si>
  <si>
    <t>Total Geral</t>
  </si>
  <si>
    <t>Rótulos de Linha</t>
  </si>
  <si>
    <t>Soma de EA Play Season Pass</t>
  </si>
  <si>
    <t>Pergunta de negócio 3 - Qual o faturamento total vendas do EA Play Season Pass ?</t>
  </si>
  <si>
    <t>Pergunta de neg[ocio 4 - Qual o faturamento total com vendas das licenças de minecraft ?</t>
  </si>
  <si>
    <t>Soma de Minecraft Season Pass Price</t>
  </si>
  <si>
    <t>&gt; Olá, Fulano de Tal !</t>
  </si>
  <si>
    <t>XBOX GAME PASS SUBSCRIPTION SALES</t>
  </si>
  <si>
    <t>Calculation period : 01/01/2024 - 31/12/2024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</si>
</sst>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b/>
      <sz val="13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5BF6A8"/>
      <name val="Segoe UI"/>
      <family val="2"/>
    </font>
    <font>
      <b/>
      <sz val="11"/>
      <color theme="0" tint="-0.3499862666707357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center" wrapText="1"/>
    </xf>
    <xf numFmtId="0" fontId="0" fillId="8" borderId="0" xfId="0" applyFill="1"/>
    <xf numFmtId="0" fontId="0" fillId="0" borderId="0" xfId="0" applyAlignment="1">
      <alignment horizontal="left"/>
    </xf>
    <xf numFmtId="0" fontId="4" fillId="0" borderId="0" xfId="1" applyFont="1" applyFill="1" applyBorder="1" applyAlignment="1">
      <alignment vertical="center"/>
    </xf>
    <xf numFmtId="0" fontId="5" fillId="6" borderId="0" xfId="0" applyFont="1" applyFill="1"/>
    <xf numFmtId="44" fontId="6" fillId="0" borderId="0" xfId="2" applyFont="1"/>
    <xf numFmtId="0" fontId="4" fillId="0" borderId="0" xfId="1" applyFont="1" applyFill="1" applyBorder="1" applyAlignment="1">
      <alignment horizontal="left" vertical="center" indent="13"/>
    </xf>
    <xf numFmtId="0" fontId="7" fillId="8" borderId="2" xfId="0" applyFont="1" applyFill="1" applyBorder="1" applyAlignment="1">
      <alignment horizontal="left" indent="17"/>
    </xf>
    <xf numFmtId="0" fontId="0" fillId="8" borderId="2" xfId="0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8" fillId="7" borderId="0" xfId="0" applyFont="1" applyFill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</font>
    </dxf>
    <dxf>
      <fill>
        <patternFill>
          <bgColor rgb="FF5BF6A8"/>
        </patternFill>
      </fill>
    </dxf>
  </dxfs>
  <tableStyles count="1" defaultTableStyle="TableStyleMedium2" defaultPivotStyle="PivotStyleLight16">
    <tableStyle name="Dashboard Xbox" pivot="0" table="0" count="3" xr9:uid="{F5D874A6-59C4-4287-A216-CB34187B7C76}">
      <tableStyleElement type="wholeTable" dxfId="15"/>
      <tableStyleElement type="headerRow" dxfId="14"/>
    </tableStyle>
  </tableStyles>
  <colors>
    <mruColors>
      <color rgb="FF5BF6A8"/>
      <color rgb="FFE8E6E9"/>
      <color rgb="FF2AE6B1"/>
      <color rgb="FFD40606"/>
      <color rgb="FF22C55E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oard Xbox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(1).xlsx]C̳álculos!Renovation value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 w="25400">
            <a:noFill/>
          </a:ln>
          <a:effectLst/>
        </c:spPr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C̳álculos!$F$4:$F$6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1-4B72-A7BC-3275D77988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21960456"/>
        <c:axId val="1921972232"/>
      </c:barChart>
      <c:catAx>
        <c:axId val="192196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972232"/>
        <c:crosses val="autoZero"/>
        <c:auto val="1"/>
        <c:lblAlgn val="ctr"/>
        <c:lblOffset val="100"/>
        <c:noMultiLvlLbl val="0"/>
      </c:catAx>
      <c:valAx>
        <c:axId val="192197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96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(1).xlsx]C̳álculos!Renovation value</c:name>
    <c:fmtId val="12"/>
  </c:pivotSource>
  <c:chart>
    <c:autoTitleDeleted val="1"/>
    <c:pivotFmts>
      <c:pivotFmt>
        <c:idx val="0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 w="25400">
            <a:noFill/>
          </a:ln>
          <a:effectLst/>
        </c:spPr>
      </c:pivotFmt>
      <c:pivotFmt>
        <c:idx val="3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 w="25400">
            <a:noFill/>
          </a:ln>
          <a:effectLst/>
        </c:spPr>
      </c:pivotFmt>
      <c:pivotFmt>
        <c:idx val="5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E6B1"/>
          </a:solidFill>
          <a:ln w="25400">
            <a:noFill/>
          </a:ln>
          <a:effectLst/>
        </c:spPr>
      </c:pivotFmt>
      <c:pivotFmt>
        <c:idx val="7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 w="25400">
            <a:noFill/>
          </a:ln>
          <a:effectLst/>
        </c:spPr>
      </c:pivotFmt>
      <c:pivotFmt>
        <c:idx val="9"/>
        <c:spPr>
          <a:solidFill>
            <a:srgbClr val="D40606"/>
          </a:solidFill>
          <a:ln>
            <a:solidFill>
              <a:srgbClr val="0070B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AE6B1"/>
          </a:solidFill>
          <a:ln w="2540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891492222008827E-2"/>
          <c:y val="0.1405005005005005"/>
          <c:w val="0.81395685295435627"/>
          <c:h val="0.66733379048339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40606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AE6B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F4-4772-BBA5-5B316C24DF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C̳álculos!$F$4:$F$6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4-4772-BBA5-5B316C24DF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21960456"/>
        <c:axId val="1921972232"/>
      </c:barChart>
      <c:catAx>
        <c:axId val="192196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972232"/>
        <c:crosses val="autoZero"/>
        <c:auto val="1"/>
        <c:lblAlgn val="ctr"/>
        <c:lblOffset val="100"/>
        <c:noMultiLvlLbl val="0"/>
      </c:catAx>
      <c:valAx>
        <c:axId val="192197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96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320040</xdr:colOff>
      <xdr:row>6</xdr:row>
      <xdr:rowOff>45720</xdr:rowOff>
    </xdr:from>
    <xdr:to>
      <xdr:col>8</xdr:col>
      <xdr:colOff>0</xdr:colOff>
      <xdr:row>19</xdr:row>
      <xdr:rowOff>89535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0EEABC-878D-5B23-283D-2B740FFC1505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838200</xdr:colOff>
      <xdr:row>19</xdr:row>
      <xdr:rowOff>182880</xdr:rowOff>
    </xdr:from>
    <xdr:to>
      <xdr:col>6</xdr:col>
      <xdr:colOff>502920</xdr:colOff>
      <xdr:row>26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B35E16C2-6B67-4681-9D20-EBFE6D65E96D}"/>
                </a:ext>
                <a:ext uri="{147F2762-F138-4A5C-976F-8EAC2B608ADB}">
                  <a16:predDERef xmlns:a16="http://schemas.microsoft.com/office/drawing/2014/main" pred="{EE0EEABC-878D-5B23-283D-2B740FFC1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1760" y="4030980"/>
              <a:ext cx="1874520" cy="1183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154022</xdr:colOff>
      <xdr:row>0</xdr:row>
      <xdr:rowOff>0</xdr:rowOff>
    </xdr:from>
    <xdr:to>
      <xdr:col>1</xdr:col>
      <xdr:colOff>713364</xdr:colOff>
      <xdr:row>4</xdr:row>
      <xdr:rowOff>23928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AA57B4-A481-4F48-9BC1-760E9589E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3" t="4591" r="72954" b="11541"/>
        <a:stretch>
          <a:fillRect/>
        </a:stretch>
      </xdr:blipFill>
      <xdr:spPr>
        <a:xfrm>
          <a:off x="2026596" y="0"/>
          <a:ext cx="559342" cy="59948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131120</xdr:rowOff>
    </xdr:from>
    <xdr:to>
      <xdr:col>1</xdr:col>
      <xdr:colOff>0</xdr:colOff>
      <xdr:row>13</xdr:row>
      <xdr:rowOff>66148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9D9E273-FF4E-498C-A75B-ED97B70973A7}"/>
                </a:ext>
                <a:ext uri="{147F2762-F138-4A5C-976F-8EAC2B608ADB}">
                  <a16:predDERef xmlns:a16="http://schemas.microsoft.com/office/drawing/2014/main" pred="{EE0EEABC-878D-5B23-283D-2B740FFC1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17248"/>
              <a:ext cx="1872574" cy="1215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331602</xdr:colOff>
      <xdr:row>5</xdr:row>
      <xdr:rowOff>42526</xdr:rowOff>
    </xdr:from>
    <xdr:to>
      <xdr:col>2</xdr:col>
      <xdr:colOff>643423</xdr:colOff>
      <xdr:row>12</xdr:row>
      <xdr:rowOff>127755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6A418A7-9DC9-071E-EB6C-A70A308E8C08}"/>
            </a:ext>
          </a:extLst>
        </xdr:cNvPr>
        <xdr:cNvGrpSpPr/>
      </xdr:nvGrpSpPr>
      <xdr:grpSpPr>
        <a:xfrm>
          <a:off x="2204176" y="747781"/>
          <a:ext cx="3238226" cy="2160463"/>
          <a:chOff x="10248975" y="1532406"/>
          <a:chExt cx="3234717" cy="208690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CB61D1B2-3E52-8510-2A12-E962BCAC2BF2}"/>
              </a:ext>
            </a:extLst>
          </xdr:cNvPr>
          <xdr:cNvGrpSpPr/>
        </xdr:nvGrpSpPr>
        <xdr:grpSpPr>
          <a:xfrm>
            <a:off x="10248975" y="1532406"/>
            <a:ext cx="3234717" cy="2086901"/>
            <a:chOff x="10242606" y="1531951"/>
            <a:chExt cx="3231874" cy="2090199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4A227E19-FF0B-7C5D-9BD7-486DAD31595C}"/>
                </a:ext>
              </a:extLst>
            </xdr:cNvPr>
            <xdr:cNvGrpSpPr/>
          </xdr:nvGrpSpPr>
          <xdr:grpSpPr>
            <a:xfrm>
              <a:off x="10242606" y="1531951"/>
              <a:ext cx="3231874" cy="2090199"/>
              <a:chOff x="7560366" y="1590499"/>
              <a:chExt cx="3226904" cy="2053848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08CAEBEE-73A3-2D28-D9A4-673527C5F81B}"/>
                  </a:ext>
                </a:extLst>
              </xdr:cNvPr>
              <xdr:cNvSpPr/>
            </xdr:nvSpPr>
            <xdr:spPr>
              <a:xfrm>
                <a:off x="7560366" y="1590499"/>
                <a:ext cx="3226904" cy="2053848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A20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690234C1-B781-4A57-8AA6-9201335D132A}"/>
                  </a:ext>
                </a:extLst>
              </xdr:cNvPr>
              <xdr:cNvSpPr/>
            </xdr:nvSpPr>
            <xdr:spPr>
              <a:xfrm>
                <a:off x="9163878" y="2043016"/>
                <a:ext cx="1471011" cy="1317240"/>
              </a:xfrm>
              <a:prstGeom prst="roundRect">
                <a:avLst/>
              </a:prstGeom>
              <a:solidFill>
                <a:srgbClr val="5BF6A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0" algn="ctr"/>
                <a:fld id="{5868758E-F27E-4353-B308-0486C6FEDB29}" type="TxLink">
                  <a:rPr lang="en-US" sz="1500" b="1" i="0" u="none" strike="noStrike">
                    <a:solidFill>
                      <a:srgbClr val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 lvl="0" algn="ctr"/>
                  <a:t> R$ 600,00 </a:t>
                </a:fld>
                <a:endParaRPr lang="pt-BR" sz="15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7BD1B745-760B-409D-95B2-C79956684B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17035" y="2079886"/>
              <a:ext cx="1219200" cy="1115585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ACF9DC30-3544-7687-0074-2BD24B5336BD}"/>
              </a:ext>
            </a:extLst>
          </xdr:cNvPr>
          <xdr:cNvSpPr/>
        </xdr:nvSpPr>
        <xdr:spPr>
          <a:xfrm>
            <a:off x="10262226" y="1532406"/>
            <a:ext cx="3214839" cy="30786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PLAY SEASON PASS</a:t>
            </a: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697148</xdr:colOff>
      <xdr:row>5</xdr:row>
      <xdr:rowOff>40532</xdr:rowOff>
    </xdr:from>
    <xdr:to>
      <xdr:col>3</xdr:col>
      <xdr:colOff>1730438</xdr:colOff>
      <xdr:row>12</xdr:row>
      <xdr:rowOff>125761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AC5E4E7-EA5E-40B7-A4E3-D7966A124358}"/>
            </a:ext>
          </a:extLst>
        </xdr:cNvPr>
        <xdr:cNvGrpSpPr/>
      </xdr:nvGrpSpPr>
      <xdr:grpSpPr>
        <a:xfrm>
          <a:off x="5496127" y="745787"/>
          <a:ext cx="3238226" cy="2160463"/>
          <a:chOff x="7003915" y="826851"/>
          <a:chExt cx="3238226" cy="2095612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344CE39C-B14B-4177-A831-2CCD2DA77779}"/>
              </a:ext>
            </a:extLst>
          </xdr:cNvPr>
          <xdr:cNvGrpSpPr/>
        </xdr:nvGrpSpPr>
        <xdr:grpSpPr>
          <a:xfrm>
            <a:off x="7003915" y="826851"/>
            <a:ext cx="3238226" cy="2095612"/>
            <a:chOff x="10248975" y="1532406"/>
            <a:chExt cx="3234717" cy="2086901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7629ECF5-5F66-75F8-F5A8-F346209F2CE2}"/>
                </a:ext>
              </a:extLst>
            </xdr:cNvPr>
            <xdr:cNvGrpSpPr/>
          </xdr:nvGrpSpPr>
          <xdr:grpSpPr>
            <a:xfrm>
              <a:off x="10248975" y="1532406"/>
              <a:ext cx="3234717" cy="2086901"/>
              <a:chOff x="7560366" y="1590499"/>
              <a:chExt cx="3226904" cy="2053848"/>
            </a:xfrm>
          </xdr:grpSpPr>
          <xdr:sp macro="" textlink="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F59B7167-E728-1A59-DCDE-ADA41E9D4EC2}"/>
                  </a:ext>
                </a:extLst>
              </xdr:cNvPr>
              <xdr:cNvSpPr/>
            </xdr:nvSpPr>
            <xdr:spPr>
              <a:xfrm>
                <a:off x="7560366" y="1590499"/>
                <a:ext cx="3226904" cy="2053848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A33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193BAE4F-93E4-F4C5-0E0D-64E5CC78DE79}"/>
                  </a:ext>
                </a:extLst>
              </xdr:cNvPr>
              <xdr:cNvSpPr/>
            </xdr:nvSpPr>
            <xdr:spPr>
              <a:xfrm>
                <a:off x="9163878" y="2043016"/>
                <a:ext cx="1471011" cy="1317240"/>
              </a:xfrm>
              <a:prstGeom prst="roundRect">
                <a:avLst/>
              </a:prstGeom>
              <a:solidFill>
                <a:srgbClr val="5BF6A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lvl="0" algn="ctr"/>
                <a:fld id="{6EC31744-E2EE-4579-B5C5-20DFCED22330}" type="TxLink">
                  <a:rPr lang="en-US" sz="1500" b="1" i="0" u="none" strike="noStrike">
                    <a:solidFill>
                      <a:srgbClr val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 lvl="0" algn="ctr"/>
                  <a:t> R$ 940,00 </a:t>
                </a:fld>
                <a:endParaRPr lang="pt-BR" sz="15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FCC5F0F6-B460-6745-ADFD-4BE11F0B8CD3}"/>
                </a:ext>
              </a:extLst>
            </xdr:cNvPr>
            <xdr:cNvSpPr/>
          </xdr:nvSpPr>
          <xdr:spPr>
            <a:xfrm>
              <a:off x="10262226" y="1532406"/>
              <a:ext cx="3214839" cy="307866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SUBSCRIPTIONS MINECRAFT SEASON PASS</a:t>
              </a:r>
            </a:p>
            <a:p>
              <a:pPr algn="l"/>
              <a:endParaRPr lang="pt-BR" sz="1100"/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1E5948BD-E718-4FDC-BE98-B11284E354BC}"/>
              </a:ext>
            </a:extLst>
          </xdr:cNvPr>
          <xdr:cNvGrpSpPr/>
        </xdr:nvGrpSpPr>
        <xdr:grpSpPr>
          <a:xfrm>
            <a:off x="7117404" y="1548318"/>
            <a:ext cx="1444094" cy="770107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6FA12B0E-ED47-DF49-AB68-E641A95344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EA566E52-3B9D-8016-2369-299AB38774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478277</xdr:colOff>
      <xdr:row>0</xdr:row>
      <xdr:rowOff>145915</xdr:rowOff>
    </xdr:from>
    <xdr:to>
      <xdr:col>0</xdr:col>
      <xdr:colOff>1305128</xdr:colOff>
      <xdr:row>6</xdr:row>
      <xdr:rowOff>81064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0121C1A3-091D-4D7A-958F-5DC8B2D6135A}"/>
            </a:ext>
          </a:extLst>
        </xdr:cNvPr>
        <xdr:cNvSpPr/>
      </xdr:nvSpPr>
      <xdr:spPr>
        <a:xfrm>
          <a:off x="478277" y="145915"/>
          <a:ext cx="826851" cy="7620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299936</xdr:colOff>
      <xdr:row>13</xdr:row>
      <xdr:rowOff>121596</xdr:rowOff>
    </xdr:from>
    <xdr:to>
      <xdr:col>3</xdr:col>
      <xdr:colOff>1864467</xdr:colOff>
      <xdr:row>32</xdr:row>
      <xdr:rowOff>47032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826D514D-8E37-4B55-43E0-A86C26A8832B}"/>
            </a:ext>
          </a:extLst>
        </xdr:cNvPr>
        <xdr:cNvGrpSpPr/>
      </xdr:nvGrpSpPr>
      <xdr:grpSpPr>
        <a:xfrm>
          <a:off x="2172510" y="3088532"/>
          <a:ext cx="6695872" cy="3548989"/>
          <a:chOff x="2115766" y="3777574"/>
          <a:chExt cx="7844683" cy="3857032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C16E5D04-1A6A-4ED0-2753-65E5303152F9}"/>
              </a:ext>
            </a:extLst>
          </xdr:cNvPr>
          <xdr:cNvGrpSpPr/>
        </xdr:nvGrpSpPr>
        <xdr:grpSpPr>
          <a:xfrm>
            <a:off x="2117523" y="3956036"/>
            <a:ext cx="7842926" cy="3678570"/>
            <a:chOff x="1962150" y="581025"/>
            <a:chExt cx="5162550" cy="3581400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5FCFB761-4D83-555B-26F9-E50F743BC2A6}"/>
                </a:ext>
              </a:extLst>
            </xdr:cNvPr>
            <xdr:cNvSpPr/>
          </xdr:nvSpPr>
          <xdr:spPr>
            <a:xfrm>
              <a:off x="1962150" y="581025"/>
              <a:ext cx="5162550" cy="3581400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VENDAS RENOVAÇÕES">
              <a:extLst>
                <a:ext uri="{FF2B5EF4-FFF2-40B4-BE49-F238E27FC236}">
                  <a16:creationId xmlns:a16="http://schemas.microsoft.com/office/drawing/2014/main" id="{7100352E-48C6-40E3-8387-494C575072D9}"/>
                </a:ext>
                <a:ext uri="{147F2762-F138-4A5C-976F-8EAC2B608ADB}">
                  <a16:predDERef xmlns:a16="http://schemas.microsoft.com/office/drawing/2014/main" pred="{6DAA57B4-A481-4F48-9BC1-760E9589E3E1}"/>
                </a:ext>
              </a:extLst>
            </xdr:cNvPr>
            <xdr:cNvGraphicFramePr>
              <a:graphicFrameLocks/>
            </xdr:cNvGraphicFramePr>
          </xdr:nvGraphicFramePr>
          <xdr:xfrm>
            <a:off x="2124075" y="838200"/>
            <a:ext cx="4686300" cy="31718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210E9409-BACD-51A9-12A6-E604B51465B2}"/>
              </a:ext>
            </a:extLst>
          </xdr:cNvPr>
          <xdr:cNvSpPr/>
        </xdr:nvSpPr>
        <xdr:spPr>
          <a:xfrm>
            <a:off x="2115766" y="3777574"/>
            <a:ext cx="7830766" cy="68904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5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  <a:p>
            <a:pPr algn="ctr"/>
            <a:endParaRPr lang="pt-BR" sz="15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" refreshedDate="46036.693243402777" createdVersion="8" refreshedVersion="8" minRefreshableVersion="3" recordCount="295" xr:uid="{D0CB2487-E19E-429A-BB2E-A0ED2372AF4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909098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BAD8B-2BA7-48AD-9DD9-0BFBB9C9DD14}" name="Total Anual Valu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B8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909F9-E759-41D6-A952-0DB3FF6D277E}" name="EA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A7255-8FFE-40A7-B2AB-A980FCFB8ED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B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3E76-9F53-49E4-BEA2-09B84D3F6681}" name="Renovation valu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E3:F6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C1A4E82-FBAE-451B-94D6-335C0478079B}" sourceName="Subscription Type">
  <pivotTables>
    <pivotTable tabId="3" name="Renovation value"/>
    <pivotTable tabId="3" name="EAPass"/>
    <pivotTable tabId="3" name="Tabela dinâmica1"/>
  </pivotTables>
  <data>
    <tabular pivotCacheId="169090987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8A1CDEC-6CC8-4583-84E7-7589F6EA7F20}" cache="SegmentaçãodeDados_Subscription_Type" caption="Subscription Type" style="Dashboard Xbox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CEDBE63-55DB-4232-8A23-C8AB18EF909A}" cache="SegmentaçãodeDados_Subscription_Type" caption="Subscription Type" style="Dashboard Xbox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2" sqref="H2:H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H33"/>
  <sheetViews>
    <sheetView showGridLines="0" workbookViewId="0">
      <selection activeCell="A20" sqref="A20"/>
    </sheetView>
  </sheetViews>
  <sheetFormatPr defaultRowHeight="14.4" x14ac:dyDescent="0.3"/>
  <cols>
    <col min="1" max="1" width="16.77734375" bestFit="1" customWidth="1"/>
    <col min="2" max="2" width="32.21875" bestFit="1" customWidth="1"/>
    <col min="3" max="3" width="18.6640625" bestFit="1" customWidth="1"/>
    <col min="4" max="5" width="14.33203125" bestFit="1" customWidth="1"/>
    <col min="6" max="6" width="17.88671875" bestFit="1" customWidth="1"/>
    <col min="7" max="7" width="17.109375" customWidth="1"/>
    <col min="8" max="8" width="10.33203125" customWidth="1"/>
    <col min="9" max="9" width="10.33203125" bestFit="1" customWidth="1"/>
    <col min="10" max="10" width="17.88671875" bestFit="1" customWidth="1"/>
    <col min="11" max="11" width="10.33203125" bestFit="1" customWidth="1"/>
    <col min="12" max="12" width="9.33203125" bestFit="1" customWidth="1"/>
    <col min="13" max="14" width="10.33203125" bestFit="1" customWidth="1"/>
    <col min="15" max="16" width="9.33203125" bestFit="1" customWidth="1"/>
    <col min="17" max="17" width="12" bestFit="1" customWidth="1"/>
    <col min="18" max="18" width="10.33203125" bestFit="1" customWidth="1"/>
    <col min="19" max="20" width="12" bestFit="1" customWidth="1"/>
  </cols>
  <sheetData>
    <row r="1" spans="1:8" ht="15" customHeight="1" x14ac:dyDescent="0.3"/>
    <row r="2" spans="1:8" ht="29.25" customHeight="1" x14ac:dyDescent="0.3">
      <c r="A2" s="23" t="s">
        <v>313</v>
      </c>
      <c r="B2" s="23"/>
      <c r="D2" s="24" t="s">
        <v>314</v>
      </c>
      <c r="E2" s="24"/>
      <c r="F2" s="24"/>
      <c r="G2" s="24"/>
      <c r="H2" s="24"/>
    </row>
    <row r="3" spans="1:8" ht="29.25" customHeight="1" x14ac:dyDescent="0.3">
      <c r="A3" s="14"/>
      <c r="B3" s="14"/>
      <c r="E3" s="12" t="s">
        <v>15</v>
      </c>
      <c r="F3" t="s">
        <v>315</v>
      </c>
    </row>
    <row r="4" spans="1:8" x14ac:dyDescent="0.3">
      <c r="A4" s="12" t="s">
        <v>17</v>
      </c>
      <c r="B4" t="s">
        <v>315</v>
      </c>
      <c r="E4" t="s">
        <v>30</v>
      </c>
      <c r="F4" s="13">
        <v>217</v>
      </c>
    </row>
    <row r="5" spans="1:8" x14ac:dyDescent="0.3">
      <c r="A5" t="s">
        <v>31</v>
      </c>
      <c r="B5" s="13">
        <v>1754</v>
      </c>
      <c r="E5" t="s">
        <v>26</v>
      </c>
      <c r="F5" s="13">
        <v>1537</v>
      </c>
    </row>
    <row r="6" spans="1:8" x14ac:dyDescent="0.3">
      <c r="A6" t="s">
        <v>27</v>
      </c>
      <c r="B6" s="13">
        <v>3571</v>
      </c>
      <c r="E6" t="s">
        <v>316</v>
      </c>
      <c r="F6" s="13">
        <v>1754</v>
      </c>
    </row>
    <row r="7" spans="1:8" x14ac:dyDescent="0.3">
      <c r="A7" t="s">
        <v>35</v>
      </c>
      <c r="B7" s="13">
        <v>2308</v>
      </c>
    </row>
    <row r="8" spans="1:8" x14ac:dyDescent="0.3">
      <c r="A8" t="s">
        <v>316</v>
      </c>
      <c r="B8" s="13">
        <v>7633</v>
      </c>
    </row>
    <row r="11" spans="1:8" x14ac:dyDescent="0.3">
      <c r="A11" t="s">
        <v>319</v>
      </c>
    </row>
    <row r="12" spans="1:8" x14ac:dyDescent="0.3">
      <c r="A12" s="12" t="s">
        <v>17</v>
      </c>
      <c r="B12" t="s">
        <v>31</v>
      </c>
    </row>
    <row r="14" spans="1:8" x14ac:dyDescent="0.3">
      <c r="A14" s="12" t="s">
        <v>317</v>
      </c>
      <c r="B14" t="s">
        <v>318</v>
      </c>
    </row>
    <row r="15" spans="1:8" x14ac:dyDescent="0.3">
      <c r="A15" s="16" t="s">
        <v>29</v>
      </c>
      <c r="B15" s="25">
        <v>0</v>
      </c>
    </row>
    <row r="16" spans="1:8" x14ac:dyDescent="0.3">
      <c r="A16" s="16" t="s">
        <v>34</v>
      </c>
      <c r="B16" s="25">
        <v>0</v>
      </c>
    </row>
    <row r="17" spans="1:2" x14ac:dyDescent="0.3">
      <c r="A17" s="16" t="s">
        <v>25</v>
      </c>
      <c r="B17" s="25">
        <v>600</v>
      </c>
    </row>
    <row r="18" spans="1:2" x14ac:dyDescent="0.3">
      <c r="A18" s="16" t="s">
        <v>316</v>
      </c>
      <c r="B18" s="25">
        <v>600</v>
      </c>
    </row>
    <row r="20" spans="1:2" ht="16.8" x14ac:dyDescent="0.4">
      <c r="A20" s="19">
        <f>GETPIVOTDATA("EA Play Season Pass
Price",$A$14)</f>
        <v>600</v>
      </c>
    </row>
    <row r="23" spans="1:2" x14ac:dyDescent="0.3">
      <c r="A23" t="s">
        <v>320</v>
      </c>
    </row>
    <row r="25" spans="1:2" x14ac:dyDescent="0.3">
      <c r="A25" s="12" t="s">
        <v>17</v>
      </c>
      <c r="B25" t="s">
        <v>31</v>
      </c>
    </row>
    <row r="27" spans="1:2" x14ac:dyDescent="0.3">
      <c r="A27" s="12" t="s">
        <v>317</v>
      </c>
      <c r="B27" t="s">
        <v>321</v>
      </c>
    </row>
    <row r="28" spans="1:2" x14ac:dyDescent="0.3">
      <c r="A28" s="16" t="s">
        <v>29</v>
      </c>
      <c r="B28" s="13">
        <v>0</v>
      </c>
    </row>
    <row r="29" spans="1:2" x14ac:dyDescent="0.3">
      <c r="A29" s="16" t="s">
        <v>34</v>
      </c>
      <c r="B29" s="13">
        <v>540</v>
      </c>
    </row>
    <row r="30" spans="1:2" x14ac:dyDescent="0.3">
      <c r="A30" s="16" t="s">
        <v>25</v>
      </c>
      <c r="B30" s="13">
        <v>400</v>
      </c>
    </row>
    <row r="31" spans="1:2" x14ac:dyDescent="0.3">
      <c r="A31" s="16" t="s">
        <v>316</v>
      </c>
      <c r="B31" s="13">
        <v>940</v>
      </c>
    </row>
    <row r="33" spans="1:1" ht="16.8" x14ac:dyDescent="0.4">
      <c r="A33" s="19">
        <f>GETPIVOTDATA("Minecraft Season Pass Price",$A$27)</f>
        <v>940</v>
      </c>
    </row>
  </sheetData>
  <mergeCells count="2">
    <mergeCell ref="A2:B2"/>
    <mergeCell ref="D2:H2"/>
  </mergeCells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D34"/>
  <sheetViews>
    <sheetView showGridLines="0" showRowColHeaders="0" tabSelected="1" zoomScale="94" zoomScaleNormal="94" workbookViewId="0">
      <selection activeCell="D34" sqref="D34"/>
    </sheetView>
  </sheetViews>
  <sheetFormatPr defaultColWidth="9.109375" defaultRowHeight="14.4" x14ac:dyDescent="0.3"/>
  <cols>
    <col min="1" max="1" width="27.33203125" style="6" customWidth="1"/>
    <col min="2" max="2" width="42.6640625" style="7" customWidth="1"/>
    <col min="3" max="3" width="32.109375" style="7" customWidth="1"/>
    <col min="4" max="4" width="36.77734375" style="7" customWidth="1"/>
    <col min="5" max="5" width="9.109375" style="7"/>
    <col min="6" max="6" width="10.77734375" style="7" customWidth="1"/>
    <col min="7" max="11" width="9.109375" style="7"/>
    <col min="12" max="12" width="6.5546875" style="7" customWidth="1"/>
    <col min="13" max="16384" width="9.109375" style="7"/>
  </cols>
  <sheetData>
    <row r="1" spans="1:4" s="15" customFormat="1" ht="14.4" customHeight="1" x14ac:dyDescent="0.3">
      <c r="A1" s="6"/>
    </row>
    <row r="2" spans="1:4" s="15" customFormat="1" ht="16.5" customHeight="1" thickBot="1" x14ac:dyDescent="0.45">
      <c r="A2" s="6"/>
      <c r="B2" s="21" t="s">
        <v>323</v>
      </c>
      <c r="C2" s="22"/>
    </row>
    <row r="3" spans="1:4" s="15" customFormat="1" ht="8.25" customHeight="1" thickTop="1" x14ac:dyDescent="0.3">
      <c r="A3" s="6"/>
    </row>
    <row r="4" spans="1:4" s="15" customFormat="1" ht="7.5" customHeight="1" x14ac:dyDescent="0.3">
      <c r="A4" s="6"/>
      <c r="B4" s="20"/>
      <c r="C4" s="17"/>
      <c r="D4" s="17"/>
    </row>
    <row r="5" spans="1:4" ht="10.5" customHeight="1" x14ac:dyDescent="0.3"/>
    <row r="6" spans="1:4" ht="9.75" customHeight="1" x14ac:dyDescent="0.3"/>
    <row r="7" spans="1:4" ht="33" customHeight="1" x14ac:dyDescent="0.3"/>
    <row r="8" spans="1:4" ht="19.8" x14ac:dyDescent="0.45">
      <c r="A8" s="18" t="s">
        <v>322</v>
      </c>
    </row>
    <row r="10" spans="1:4" ht="57" customHeight="1" x14ac:dyDescent="0.3"/>
    <row r="22" ht="21" customHeight="1" x14ac:dyDescent="0.3"/>
    <row r="34" spans="2:2" ht="16.8" x14ac:dyDescent="0.4">
      <c r="B34" s="26" t="s">
        <v>324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Danilo Potrich</cp:lastModifiedBy>
  <cp:revision/>
  <dcterms:created xsi:type="dcterms:W3CDTF">2024-12-19T13:13:10Z</dcterms:created>
  <dcterms:modified xsi:type="dcterms:W3CDTF">2026-01-15T22:19:57Z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